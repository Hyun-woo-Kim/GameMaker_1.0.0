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개요" state="visible" r:id="rId4"/>
    <sheet sheetId="2" name="📊 스탯 성장" state="visible" r:id="rId5"/>
    <sheet sheetId="3" name="⚔️ 전투 시뮬레이터" state="visible" r:id="rId6"/>
    <sheet sheetId="4" name="🏃 활력 시스템" state="visible" r:id="rId7"/>
    <sheet sheetId="5" name="💰 경제 흐름" state="visible" r:id="rId8"/>
    <sheet sheetId="6" name="🏠 집 장비 투자" state="visible" r:id="rId9"/>
    <sheet sheetId="7" name="🥊 스파링 비용" state="visible" r:id="rId10"/>
    <sheet sheetId="8" name="📝 조정 이력" state="visible" r:id="rId11"/>
  </sheets>
  <calcPr calcId="171027"/>
</workbook>
</file>

<file path=xl/sharedStrings.xml><?xml version="1.0" encoding="utf-8"?>
<sst xmlns="http://schemas.openxmlformats.org/spreadsheetml/2006/main" count="481" uniqueCount="334">
  <si>
    <t>Road to Glory — 밸런스 시트</t>
  </si>
  <si>
    <t>v0.1  |  작성일: 2026-05-25  |  모든 수치는 플레이테스트 전 이론값</t>
  </si>
  <si>
    <t>시트명</t>
  </si>
  <si>
    <t>설명</t>
  </si>
  <si>
    <t>주요 변수</t>
  </si>
  <si>
    <t>참조 시트</t>
  </si>
  <si>
    <t>📊 스탯 성장</t>
  </si>
  <si>
    <t>티어별 스탯 목표값과 성장 공식</t>
  </si>
  <si>
    <t>STR/AGI/STA/TEC/HP 목표치</t>
  </si>
  <si>
    <t>전투 시뮬레이터</t>
  </si>
  <si>
    <t>⚔️ 전투 시뮬레이터</t>
  </si>
  <si>
    <t>데미지 공식·상성·전략 배율 계산기</t>
  </si>
  <si>
    <t>ATK, 상성 배율, 크리티컬율</t>
  </si>
  <si>
    <t>스탯 성장</t>
  </si>
  <si>
    <t>🏃 활력 시스템</t>
  </si>
  <si>
    <t>하루 시간/활력 예산 및 이동 비용 분석</t>
  </si>
  <si>
    <t>이동 활력, 훈련 슬롯 수</t>
  </si>
  <si>
    <t>집 장비 투자</t>
  </si>
  <si>
    <t>💰 경제 흐름</t>
  </si>
  <si>
    <t>티어별 수입/지출 및 골드 흑자 분석</t>
  </si>
  <si>
    <t>아르바이트, 멤버십, 식단</t>
  </si>
  <si>
    <t>🏠 집 장비 투자</t>
  </si>
  <si>
    <t>집 장비 구매 ROI 시뮬레이션</t>
  </si>
  <si>
    <t>장비 비용, 절약 활력, 회수 기간</t>
  </si>
  <si>
    <t>경제 흐름</t>
  </si>
  <si>
    <t>🥊 스파링 비용</t>
  </si>
  <si>
    <t>스킬포인트 획득 경로별 비용 비교</t>
  </si>
  <si>
    <t>스파링 초청비, SP 획득량</t>
  </si>
  <si>
    <t>📝 조정 이력</t>
  </si>
  <si>
    <t>플레이테스트 후 수치 변경 기록</t>
  </si>
  <si>
    <t>날짜, 항목, 변경 전후, 이유</t>
  </si>
  <si>
    <t>—</t>
  </si>
  <si>
    <t>스탯 성장 목표값 (티어별)</t>
  </si>
  <si>
    <t>스탯</t>
  </si>
  <si>
    <t>시작값</t>
  </si>
  <si>
    <t>티어1 목표</t>
  </si>
  <si>
    <t>티어2 목표</t>
  </si>
  <si>
    <t>티어3 목표</t>
  </si>
  <si>
    <t>티어4 목표</t>
  </si>
  <si>
    <t>비고</t>
  </si>
  <si>
    <t/>
  </si>
  <si>
    <t>STR (힘)</t>
  </si>
  <si>
    <t>기본 데미지 영향</t>
  </si>
  <si>
    <t>AGI (민첩)</t>
  </si>
  <si>
    <t>회피율·공격 속도</t>
  </si>
  <si>
    <t>STA (스태미나)</t>
  </si>
  <si>
    <t>전투 지속·스킬 사용</t>
  </si>
  <si>
    <t>TEC (기술)</t>
  </si>
  <si>
    <t>직업 스킬 계수·크리티컬</t>
  </si>
  <si>
    <t>HP (체력)</t>
  </si>
  <si>
    <t>전투 생명력 (식단 관리로 상승)</t>
  </si>
  <si>
    <t>VIT (활력)</t>
  </si>
  <si>
    <t>하루 행동 예산 — 매일 완전 회복</t>
  </si>
  <si>
    <t>스탯 일일 감소율 (미훈련 시)</t>
  </si>
  <si>
    <t>기본 감소/day</t>
  </si>
  <si>
    <t>STA부족 감소/day</t>
  </si>
  <si>
    <t>STA부족 기준</t>
  </si>
  <si>
    <t>STR</t>
  </si>
  <si>
    <t>STA &lt; 20</t>
  </si>
  <si>
    <t>STA 부족 시 2배</t>
  </si>
  <si>
    <t>AGI</t>
  </si>
  <si>
    <t>TEC</t>
  </si>
  <si>
    <t>HP</t>
  </si>
  <si>
    <t>자연 감소 없음 (식단으로만 증가)</t>
  </si>
  <si>
    <t>VIT</t>
  </si>
  <si>
    <t>매일 100으로 완전 회복</t>
  </si>
  <si>
    <t>훈련 효율 — 수확 체감 공식</t>
  </si>
  <si>
    <t>실제 상승값 = 기본상승값 × (목표스탯 ÷ 현재스탯)^0.4</t>
  </si>
  <si>
    <t>현재 STR</t>
  </si>
  <si>
    <t>목표 STR</t>
  </si>
  <si>
    <t>기본상승값</t>
  </si>
  <si>
    <t>실제상승값(공식)</t>
  </si>
  <si>
    <t>전투 데미지 시뮬레이터</t>
  </si>
  <si>
    <t>▶ 입력값 (파란색 셀 수정)</t>
  </si>
  <si>
    <t>내 STR</t>
  </si>
  <si>
    <t>상대 STR</t>
  </si>
  <si>
    <t>내 AGI</t>
  </si>
  <si>
    <t>상대 AGI</t>
  </si>
  <si>
    <t>내 TEC</t>
  </si>
  <si>
    <t>상대 TEC</t>
  </si>
  <si>
    <t>내 직업계수</t>
  </si>
  <si>
    <t>상대 직업계수</t>
  </si>
  <si>
    <t>상성 관계</t>
  </si>
  <si>
    <t>유리</t>
  </si>
  <si>
    <t>(유리/중립/불리)</t>
  </si>
  <si>
    <t>전략 선택</t>
  </si>
  <si>
    <t>균형</t>
  </si>
  <si>
    <t>(공격적/균형/방어적)</t>
  </si>
  <si>
    <t>▶ 계산 결과 (검정 셀 = 자동 계산)</t>
  </si>
  <si>
    <t>계산 항목</t>
  </si>
  <si>
    <t>내 수치</t>
  </si>
  <si>
    <t>상대 수치</t>
  </si>
  <si>
    <t>차이/비율</t>
  </si>
  <si>
    <t>기본 공격력 (ATK)</t>
  </si>
  <si>
    <t>=($B$4*1.5+$B$6*0.5)*$B$7</t>
  </si>
  <si>
    <t>=($E$4*1.5+$E$6*0.5)*$E$7</t>
  </si>
  <si>
    <t>=B12-C12</t>
  </si>
  <si>
    <t>STR×1.5 + TEC×0.5 × 직업계수</t>
  </si>
  <si>
    <t>상성 배율</t>
  </si>
  <si>
    <t>=IF($B$8="유리",1.2,IF($B$8="불리",0.8,1.0))</t>
  </si>
  <si>
    <t>=IF($B$8="유리",0.8,IF($B$8="불리",1.2,1.0))</t>
  </si>
  <si>
    <t>유리=1.2, 중립=1.0, 불리=0.8</t>
  </si>
  <si>
    <t>전략 공격 배율</t>
  </si>
  <si>
    <t>=IF($B$9="공격적",1.15,IF($B$9="방어적",0.85,1.0))</t>
  </si>
  <si>
    <t>공격적=1.15, 균형=1.0, 방어적=0.85</t>
  </si>
  <si>
    <t>최종 데미지</t>
  </si>
  <si>
    <t>=B12*B13*B14</t>
  </si>
  <si>
    <t>=C12*C13*1.0</t>
  </si>
  <si>
    <t>=B15-C15</t>
  </si>
  <si>
    <t>ATK × 상성 × 전략</t>
  </si>
  <si>
    <t>회피율 (상대)</t>
  </si>
  <si>
    <t>=$B$5/($B$5+$E$5)*0.6</t>
  </si>
  <si>
    <t>=$E$5/($B$5+$E$5)*0.6</t>
  </si>
  <si>
    <t>최대 40% 캡</t>
  </si>
  <si>
    <t>예상 유효 데미지</t>
  </si>
  <si>
    <t>=B15*(1-MIN(C16,0.4))</t>
  </si>
  <si>
    <t>=C15*(1-MIN(B16,0.4))</t>
  </si>
  <si>
    <t>=B17-C17</t>
  </si>
  <si>
    <t>데미지 × (1 - 상대 회피율)</t>
  </si>
  <si>
    <t>상성 불리 극복 조건 분석</t>
  </si>
  <si>
    <t>티어</t>
  </si>
  <si>
    <t>라이벌 스탯합</t>
  </si>
  <si>
    <t>플레이어 목표 스탯합</t>
  </si>
  <si>
    <t>필요 우위(%)</t>
  </si>
  <si>
    <t>예상 승률</t>
  </si>
  <si>
    <t>1. 길거리</t>
  </si>
  <si>
    <t>12.5%</t>
  </si>
  <si>
    <t>~53%</t>
  </si>
  <si>
    <t>상성 -20%를 스탯으로 보완</t>
  </si>
  <si>
    <t>2. KFC</t>
  </si>
  <si>
    <t>15.6%</t>
  </si>
  <si>
    <t>~52%</t>
  </si>
  <si>
    <t>3. UFC</t>
  </si>
  <si>
    <t>16.0%</t>
  </si>
  <si>
    <t>~51%</t>
  </si>
  <si>
    <t>4. 챔피언</t>
  </si>
  <si>
    <t>16.2%</t>
  </si>
  <si>
    <t>~50%</t>
  </si>
  <si>
    <t>라이벌은 항상 상성 불리</t>
  </si>
  <si>
    <t>활력(VIT) 시스템 — 하루 시간 예산</t>
  </si>
  <si>
    <t>▶ 기본 설정값</t>
  </si>
  <si>
    <t>하루 최대 활력(VIT)</t>
  </si>
  <si>
    <t>매일 아침 완전 회복</t>
  </si>
  <si>
    <t>집→체육관 이동 비용</t>
  </si>
  <si>
    <t>편도 활력 소모</t>
  </si>
  <si>
    <t>체육관→집 이동 비용</t>
  </si>
  <si>
    <t>이동 총 비용(왕복)</t>
  </si>
  <si>
    <t>집 장비 있으면 0</t>
  </si>
  <si>
    <t>최대 훈련 가능 활력</t>
  </si>
  <si>
    <t>이동 후 남은 활력</t>
  </si>
  <si>
    <t>▶ 행동별 활력 소모</t>
  </si>
  <si>
    <t>행동</t>
  </si>
  <si>
    <t>활력 소모</t>
  </si>
  <si>
    <t>스탯 효과</t>
  </si>
  <si>
    <t>비용(골드)</t>
  </si>
  <si>
    <t>장소</t>
  </si>
  <si>
    <t>집→체육관 이동</t>
  </si>
  <si>
    <t>없음</t>
  </si>
  <si>
    <t>이동</t>
  </si>
  <si>
    <t>집 장비 있으면 생략</t>
  </si>
  <si>
    <t>체육관→집 이동</t>
  </si>
  <si>
    <t>웨이트 트레이닝</t>
  </si>
  <si>
    <t>STR +3</t>
  </si>
  <si>
    <t>체육관</t>
  </si>
  <si>
    <t>멤버십 필요</t>
  </si>
  <si>
    <t>달리기</t>
  </si>
  <si>
    <t>AGI +2</t>
  </si>
  <si>
    <t>어디서나</t>
  </si>
  <si>
    <t>무료</t>
  </si>
  <si>
    <t>줄넘기</t>
  </si>
  <si>
    <t>AGI+1,VIT+2</t>
  </si>
  <si>
    <t>집/체육관</t>
  </si>
  <si>
    <t>스파링</t>
  </si>
  <si>
    <t>TEC +3</t>
  </si>
  <si>
    <t>상대 초청비 포함 / SP 1점 획득</t>
  </si>
  <si>
    <t>기술 훈련(미트)</t>
  </si>
  <si>
    <t>TEC +2</t>
  </si>
  <si>
    <t>식단 관리</t>
  </si>
  <si>
    <t>HP+10,VIT+5</t>
  </si>
  <si>
    <t>집/편의점</t>
  </si>
  <si>
    <t>아르바이트</t>
  </si>
  <si>
    <t>+75골드</t>
  </si>
  <si>
    <t>휴식</t>
  </si>
  <si>
    <t>STA 회복</t>
  </si>
  <si>
    <t>집</t>
  </si>
  <si>
    <t>활력 회복 (최대 초과 불가)</t>
  </si>
  <si>
    <t>▶ 하루 일과 시나리오 비교</t>
  </si>
  <si>
    <t>시나리오</t>
  </si>
  <si>
    <t>이동 소모</t>
  </si>
  <si>
    <t>훈련 슬롯 수</t>
  </si>
  <si>
    <t>훈련 가능 활력</t>
  </si>
  <si>
    <t>스탯 성장 효율</t>
  </si>
  <si>
    <t>경제 상황</t>
  </si>
  <si>
    <t>가난 (체육관, 이동O)</t>
  </si>
  <si>
    <t>기본</t>
  </si>
  <si>
    <t>아르바이트 필요</t>
  </si>
  <si>
    <t>부자 (집 장비, 이동X)</t>
  </si>
  <si>
    <t>140%</t>
  </si>
  <si>
    <t>이동 비용 절감</t>
  </si>
  <si>
    <t>절충 (집 기초+체육관)</t>
  </si>
  <si>
    <t>120%</t>
  </si>
  <si>
    <t>집: STR/AGI, 체육관: TEC</t>
  </si>
  <si>
    <t>경제 흐름 분석 (티어별)</t>
  </si>
  <si>
    <t>▶ 주간 고정 비용</t>
  </si>
  <si>
    <t>지출 항목</t>
  </si>
  <si>
    <t>주기</t>
  </si>
  <si>
    <t>월간 환산</t>
  </si>
  <si>
    <t>체육관 멤버십</t>
  </si>
  <si>
    <t>주간</t>
  </si>
  <si>
    <t>7일마다 자동 차감</t>
  </si>
  <si>
    <t>식단(영양제×5)</t>
  </si>
  <si>
    <t>50골드×5회</t>
  </si>
  <si>
    <t>주간 고정 지출 합계</t>
  </si>
  <si>
    <t>▶ 티어별 주간 수입 시뮬레이션</t>
  </si>
  <si>
    <t>항목</t>
  </si>
  <si>
    <t>티어1 길거리</t>
  </si>
  <si>
    <t>티어2 KFC</t>
  </si>
  <si>
    <t>티어3 UFC</t>
  </si>
  <si>
    <t>티어4 챔피언</t>
  </si>
  <si>
    <t>아르바이트 (주 3회)</t>
  </si>
  <si>
    <t>75골드 × 3슬롯</t>
  </si>
  <si>
    <t>시합 승리 보너스</t>
  </si>
  <si>
    <t>티어별 보너스</t>
  </si>
  <si>
    <t>주간 총 수입</t>
  </si>
  <si>
    <t>주간 순이익 (지출 후)</t>
  </si>
  <si>
    <t>▶ 경제 설계 의도</t>
  </si>
  <si>
    <t>초반 (티어1)</t>
  </si>
  <si>
    <t>항상 빠듯하게 설계. 아르바이트 ↔ 훈련 트레이드오프가 핵심 긴장감</t>
  </si>
  <si>
    <t>중반 (티어2)</t>
  </si>
  <si>
    <t>시합 보너스 증가로 아르바이트 의존도 감소. 집 장비 구매 가능권 진입</t>
  </si>
  <si>
    <t>후반 (티어3+)</t>
  </si>
  <si>
    <t>돈보다 시간 효율 극대화가 더 중요. 스파링 비용도 부담 없는 수준</t>
  </si>
  <si>
    <t>집 장비 투자 ROI 시뮬레이션</t>
  </si>
  <si>
    <t>▶ 장비별 효과 및 비용</t>
  </si>
  <si>
    <t>장비명</t>
  </si>
  <si>
    <t>구매 비용</t>
  </si>
  <si>
    <t>절약 활력/일</t>
  </si>
  <si>
    <t>제공 훈련</t>
  </si>
  <si>
    <t>체육관 대체?</t>
  </si>
  <si>
    <t>기본 덤벨 세트</t>
  </si>
  <si>
    <t>STR 기초</t>
  </si>
  <si>
    <t>부분 (STR만)</t>
  </si>
  <si>
    <t>이동 생략 가능</t>
  </si>
  <si>
    <t>런닝머신</t>
  </si>
  <si>
    <t>AGI 기초</t>
  </si>
  <si>
    <t>부분 (AGI만)</t>
  </si>
  <si>
    <t>홈짐 풀세트</t>
  </si>
  <si>
    <t>STR+AGI</t>
  </si>
  <si>
    <t>부분 (TEC 불가)</t>
  </si>
  <si>
    <t>이동 완전 생략</t>
  </si>
  <si>
    <t>샌드백</t>
  </si>
  <si>
    <t>STR+TEC기초</t>
  </si>
  <si>
    <t>부분</t>
  </si>
  <si>
    <t>체육관 TEC 훈련은 여전히 필요</t>
  </si>
  <si>
    <t>※ 체육관 (비교용)</t>
  </si>
  <si>
    <t>STR+AGI+TEC</t>
  </si>
  <si>
    <t>완전</t>
  </si>
  <si>
    <t>코치·링 보유. 대체 불가</t>
  </si>
  <si>
    <t>▶ 투자 회수 기간 계산 (홈짐 풀세트 기준)</t>
  </si>
  <si>
    <t>홈짐 구매 비용</t>
  </si>
  <si>
    <t>골드</t>
  </si>
  <si>
    <t>일일 절약 활력</t>
  </si>
  <si>
    <t>VIT/일</t>
  </si>
  <si>
    <t>왕복 이동 생략</t>
  </si>
  <si>
    <t>활력 → 추가 훈련 슬롯</t>
  </si>
  <si>
    <t>슬롯/일</t>
  </si>
  <si>
    <t>슬롯당 활력 20 기준</t>
  </si>
  <si>
    <t>슬롯 → 추가 스탯/일</t>
  </si>
  <si>
    <t>스탯포인트/일</t>
  </si>
  <si>
    <t>평균 2.5SP/슬롯</t>
  </si>
  <si>
    <t>아르바이트 대신 훈련 시</t>
  </si>
  <si>
    <t>절약</t>
  </si>
  <si>
    <t>기회비용</t>
  </si>
  <si>
    <t>75골드/슬롯 기회비용</t>
  </si>
  <si>
    <t>시합 보너스 증가 (성장↑)</t>
  </si>
  <si>
    <t>+15%</t>
  </si>
  <si>
    <t>예상 승률 향상</t>
  </si>
  <si>
    <t>투자 회수 예상 (시합 기준)</t>
  </si>
  <si>
    <t>회(시합)</t>
  </si>
  <si>
    <t>시합 보너스의 15% 기여로 계산</t>
  </si>
  <si>
    <t>⚠ 설계 의도: 집 장비는 체육관을 완전히 대체하지 않는다</t>
  </si>
  <si>
    <t>STR/AGI 훈련은 집 장비로 가능 → 이동 비용 절감</t>
  </si>
  <si>
    <t>TEC (기술) 훈련은 체육관 코치·스파링 상대 필요 → 체육관 계속 방문해야 함</t>
  </si>
  <si>
    <t>결과: 집 장비 구매 = 이동 낭비 줄이기. 체육관 멤버십은 여전히 필요</t>
  </si>
  <si>
    <t>스킬포인트(SP) 획득 경로 분석</t>
  </si>
  <si>
    <t>▶ SP 획득 방법 비교</t>
  </si>
  <si>
    <t>방법</t>
  </si>
  <si>
    <t>SP 획득</t>
  </si>
  <si>
    <t>빈도</t>
  </si>
  <si>
    <t>공식 경기 승리</t>
  </si>
  <si>
    <t>티어당 3~7회</t>
  </si>
  <si>
    <t>패배 시 0 (부상 위험)</t>
  </si>
  <si>
    <t>공식 경기 패배</t>
  </si>
  <si>
    <t>SP 없음, 스탯 손실 가능</t>
  </si>
  <si>
    <t>스파링 (상대 초청)</t>
  </si>
  <si>
    <t>제한 없음</t>
  </si>
  <si>
    <t>안전, 반복 가능</t>
  </si>
  <si>
    <t>스파링 (팀 내부)</t>
  </si>
  <si>
    <t>주 3회 제한</t>
  </si>
  <si>
    <t>팀 합류 후 가능 (중반 이후)</t>
  </si>
  <si>
    <t>▶ 스파링 상대 초청 비용 (티어별)</t>
  </si>
  <si>
    <t>초청 비용/회</t>
  </si>
  <si>
    <t>SP당 비용</t>
  </si>
  <si>
    <t>주간 최대 SP</t>
  </si>
  <si>
    <t>주간 총 비용</t>
  </si>
  <si>
    <t>▶ 스킬 트리 완성에 필요한 총 SP 및 비용 추산</t>
  </si>
  <si>
    <t>총 스킬 수</t>
  </si>
  <si>
    <t>개</t>
  </si>
  <si>
    <t>3×3 트리</t>
  </si>
  <si>
    <t>스킬당 필요 SP</t>
  </si>
  <si>
    <t>SP</t>
  </si>
  <si>
    <t>1스킬 = SP 1</t>
  </si>
  <si>
    <t>총 필요 SP</t>
  </si>
  <si>
    <t>경기로 획득 SP</t>
  </si>
  <si>
    <t>티어1(3)+2(4)+3(5)+4방어(2)</t>
  </si>
  <si>
    <t>스파링으로 충당 SP</t>
  </si>
  <si>
    <t>스파링 평균 비용</t>
  </si>
  <si>
    <t>골드/회</t>
  </si>
  <si>
    <t>티어 평균</t>
  </si>
  <si>
    <t>스파링 총 비용 추산</t>
  </si>
  <si>
    <t>스파링만으로 채울 경우</t>
  </si>
  <si>
    <t>밸런스 조정 이력 — 플레이테스트 후 기록</t>
  </si>
  <si>
    <t>날짜</t>
  </si>
  <si>
    <t>조정 항목</t>
  </si>
  <si>
    <t>변경 전 값</t>
  </si>
  <si>
    <t>변경 후 값</t>
  </si>
  <si>
    <t>변경 이유</t>
  </si>
  <si>
    <t>담당</t>
  </si>
  <si>
    <t>2026-05-25</t>
  </si>
  <si>
    <t>(초기값 설정)</t>
  </si>
  <si>
    <t>v0.1 전체</t>
  </si>
  <si>
    <t>GDD 기반 초기값 입력</t>
  </si>
  <si>
    <t>기획팀</t>
  </si>
  <si>
    <t>※ 플레이테스트 후 수치를 변경할 때마다 이 시트에 기록하세요. 밸런스 기획 포트폴리오의 핵심 증거입니다.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</si>
</sst>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(#,##0);-"/>
    <numFmt numFmtId="165" formatCode="0.0"/>
  </numFmts>
  <fonts count="20" x14ac:knownFonts="1">
    <font>
      <color theme="1"/>
      <family val="2"/>
      <scheme val="minor"/>
      <sz val="11"/>
      <name val="Calibri"/>
    </font>
    <font>
      <b/>
      <color rgb="FF1F3864"/>
      <sz val="18"/>
      <name val="Arial"/>
    </font>
    <font>
      <color rgb="FF595959"/>
      <sz val="10"/>
      <name val="Arial"/>
    </font>
    <font>
      <b/>
      <color rgb="FFFFFFFF"/>
      <sz val="10"/>
      <name val="Arial"/>
    </font>
    <font>
      <color rgb="FF000000"/>
      <sz val="10"/>
      <name val="Arial"/>
    </font>
    <font>
      <b/>
      <color rgb="FF1F3864"/>
      <sz val="14"/>
      <name val="Arial"/>
    </font>
    <font>
      <b/>
      <color rgb="FF000000"/>
      <sz val="10"/>
      <name val="Arial"/>
    </font>
    <font>
      <b/>
      <color rgb="FFC00000"/>
      <sz val="12"/>
      <name val="Arial"/>
    </font>
    <font>
      <b/>
      <color rgb="FFCC0000"/>
      <sz val="10"/>
      <name val="Arial"/>
    </font>
    <font>
      <b/>
      <color rgb="FF2F5496"/>
      <sz val="12"/>
      <name val="Arial"/>
    </font>
    <font>
      <b/>
      <color rgb="FF1F3864"/>
      <sz val="11"/>
      <name val="Arial"/>
    </font>
    <font>
      <b/>
      <color rgb="FF2F5496"/>
      <sz val="11"/>
      <name val="Arial"/>
    </font>
    <font>
      <color rgb="FF0000FF"/>
      <sz val="10"/>
      <name val="Arial"/>
    </font>
    <font>
      <b/>
      <color rgb="FF000000"/>
      <sz val="11"/>
      <name val="Arial"/>
    </font>
    <font>
      <b/>
      <color rgb="FF375623"/>
      <sz val="10"/>
      <name val="Arial"/>
    </font>
    <font>
      <b/>
      <color rgb="FF375623"/>
      <sz val="11"/>
      <name val="Arial"/>
    </font>
    <font>
      <b/>
      <color rgb="FF2F5496"/>
      <sz val="10"/>
      <name val="Arial"/>
    </font>
    <font>
      <b/>
      <color rgb="FF595959"/>
      <sz val="10"/>
      <name val="Arial"/>
    </font>
    <font>
      <b/>
      <color rgb="FFC00000"/>
      <sz val="11"/>
      <name val="Arial"/>
    </font>
    <font>
      <b/>
      <color rgb="FFC00000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F0FF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5" borderId="0" xfId="0" applyFont="1" applyFill="1"/>
    <xf numFmtId="0" fontId="8" fillId="2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6" borderId="0" xfId="0" applyFont="1" applyFill="1"/>
    <xf numFmtId="0" fontId="10" fillId="0" borderId="0" xfId="0" applyFont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left" vertical="center" wrapText="1"/>
    </xf>
    <xf numFmtId="2" fontId="4" fillId="4" borderId="1" xfId="0" applyNumberFormat="1" applyFont="1" applyFill="1" applyBorder="1" applyAlignment="1">
      <alignment horizontal="left" vertical="center" wrapText="1"/>
    </xf>
    <xf numFmtId="0" fontId="11" fillId="6" borderId="0" xfId="0" applyFont="1" applyFill="1"/>
    <xf numFmtId="0" fontId="6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7" borderId="0" xfId="0" applyFont="1" applyFill="1"/>
    <xf numFmtId="0" fontId="0" fillId="8" borderId="1" xfId="0" applyFill="1" applyBorder="1" applyAlignment="1">
      <alignment horizontal="right" vertical="center" wrapText="1"/>
    </xf>
    <xf numFmtId="0" fontId="0" fillId="9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2" fontId="0" fillId="9" borderId="1" xfId="0" applyNumberFormat="1" applyFill="1" applyBorder="1" applyAlignment="1">
      <alignment horizontal="righ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0" fillId="2" borderId="0" xfId="0" applyFill="1"/>
    <xf numFmtId="0" fontId="1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/>
    <xf numFmtId="3" fontId="12" fillId="0" borderId="1" xfId="0" applyNumberFormat="1" applyFont="1" applyBorder="1"/>
    <xf numFmtId="0" fontId="0" fillId="0" borderId="1" xfId="0" applyBorder="1"/>
    <xf numFmtId="3" fontId="0" fillId="0" borderId="1" xfId="0" applyNumberFormat="1" applyBorder="1"/>
    <xf numFmtId="0" fontId="4" fillId="5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left" vertical="center" wrapText="1"/>
    </xf>
    <xf numFmtId="0" fontId="15" fillId="8" borderId="0" xfId="0" applyFont="1" applyFill="1"/>
    <xf numFmtId="3" fontId="12" fillId="0" borderId="1" xfId="0" applyNumberFormat="1" applyFont="1" applyBorder="1" applyAlignment="1">
      <alignment horizontal="right" vertical="center" wrapText="1"/>
    </xf>
    <xf numFmtId="164" fontId="4" fillId="5" borderId="1" xfId="0" applyNumberFormat="1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164" fontId="14" fillId="8" borderId="1" xfId="0" applyNumberFormat="1" applyFont="1" applyFill="1" applyBorder="1" applyAlignment="1">
      <alignment horizontal="right" vertical="center" wrapText="1"/>
    </xf>
    <xf numFmtId="0" fontId="14" fillId="8" borderId="1" xfId="0" applyFont="1" applyFill="1" applyBorder="1" applyAlignment="1">
      <alignment horizontal="right" vertical="center" wrapText="1"/>
    </xf>
    <xf numFmtId="0" fontId="10" fillId="2" borderId="0" xfId="0" applyFont="1" applyFill="1"/>
    <xf numFmtId="0" fontId="16" fillId="2" borderId="1" xfId="0" applyFont="1" applyFill="1" applyBorder="1"/>
    <xf numFmtId="0" fontId="16" fillId="0" borderId="1" xfId="0" applyFont="1" applyBorder="1"/>
    <xf numFmtId="3" fontId="12" fillId="2" borderId="1" xfId="0" applyNumberFormat="1" applyFont="1" applyFill="1" applyBorder="1" applyAlignment="1">
      <alignment horizontal="left" vertical="center" wrapText="1"/>
    </xf>
    <xf numFmtId="3" fontId="12" fillId="4" borderId="1" xfId="0" applyNumberFormat="1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3" fontId="17" fillId="5" borderId="1" xfId="0" applyNumberFormat="1" applyFont="1" applyFill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left" vertical="center" wrapText="1"/>
    </xf>
    <xf numFmtId="0" fontId="18" fillId="9" borderId="0" xfId="0" applyFont="1" applyFill="1"/>
    <xf numFmtId="3" fontId="0" fillId="0" borderId="1" xfId="0" applyNumberFormat="1" applyBorder="1" applyAlignment="1">
      <alignment horizontal="right" vertical="center" wrapText="1"/>
    </xf>
    <xf numFmtId="3" fontId="0" fillId="0" borderId="1" xfId="0" applyNumberFormat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2" customWidth="1"/>
    <col min="2" max="2" width="35" customWidth="1"/>
    <col min="3" max="5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 t="s">
        <v>7</v>
      </c>
      <c r="C5" s="4" t="s">
        <v>8</v>
      </c>
      <c r="D5" s="4" t="s">
        <v>9</v>
      </c>
    </row>
    <row r="6" spans="1:4" x14ac:dyDescent="0.25">
      <c r="A6" s="5" t="s">
        <v>10</v>
      </c>
      <c r="B6" s="5" t="s">
        <v>11</v>
      </c>
      <c r="C6" s="5" t="s">
        <v>12</v>
      </c>
      <c r="D6" s="5" t="s">
        <v>13</v>
      </c>
    </row>
    <row r="7" spans="1:4" x14ac:dyDescent="0.25">
      <c r="A7" s="4" t="s">
        <v>14</v>
      </c>
      <c r="B7" s="4" t="s">
        <v>15</v>
      </c>
      <c r="C7" s="4" t="s">
        <v>16</v>
      </c>
      <c r="D7" s="4" t="s">
        <v>17</v>
      </c>
    </row>
    <row r="8" spans="1:4" x14ac:dyDescent="0.25">
      <c r="A8" s="5" t="s">
        <v>18</v>
      </c>
      <c r="B8" s="5" t="s">
        <v>19</v>
      </c>
      <c r="C8" s="5" t="s">
        <v>20</v>
      </c>
      <c r="D8" s="5" t="s">
        <v>17</v>
      </c>
    </row>
    <row r="9" spans="1:4" x14ac:dyDescent="0.25">
      <c r="A9" s="4" t="s">
        <v>21</v>
      </c>
      <c r="B9" s="4" t="s">
        <v>22</v>
      </c>
      <c r="C9" s="4" t="s">
        <v>23</v>
      </c>
      <c r="D9" s="4" t="s">
        <v>24</v>
      </c>
    </row>
    <row r="10" spans="1:4" x14ac:dyDescent="0.25">
      <c r="A10" s="5" t="s">
        <v>25</v>
      </c>
      <c r="B10" s="5" t="s">
        <v>26</v>
      </c>
      <c r="C10" s="5" t="s">
        <v>27</v>
      </c>
      <c r="D10" s="5" t="s">
        <v>24</v>
      </c>
    </row>
    <row r="11" spans="1:4" x14ac:dyDescent="0.25">
      <c r="A11" s="4" t="s">
        <v>28</v>
      </c>
      <c r="B11" s="4" t="s">
        <v>29</v>
      </c>
      <c r="C11" s="4" t="s">
        <v>30</v>
      </c>
      <c r="D11" s="4" t="s">
        <v>31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1" width="18" customWidth="1"/>
    <col min="2" max="2" width="12" customWidth="1"/>
    <col min="3" max="6" width="14" customWidth="1"/>
    <col min="7" max="8" width="20" customWidth="1"/>
  </cols>
  <sheetData>
    <row r="1" spans="1:8" x14ac:dyDescent="0.25">
      <c r="A1" s="6" t="s">
        <v>32</v>
      </c>
      <c r="B1" s="6"/>
      <c r="C1" s="6"/>
      <c r="D1" s="6"/>
      <c r="E1" s="6"/>
      <c r="F1" s="6"/>
      <c r="G1" s="6"/>
      <c r="H1" s="6"/>
    </row>
    <row r="3" spans="1:8" x14ac:dyDescent="0.25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</row>
    <row r="4" spans="1:7" x14ac:dyDescent="0.25">
      <c r="A4" s="7" t="s">
        <v>41</v>
      </c>
      <c r="B4" s="5">
        <v>10</v>
      </c>
      <c r="C4" s="5">
        <v>25</v>
      </c>
      <c r="D4" s="5">
        <v>45</v>
      </c>
      <c r="E4" s="5">
        <v>65</v>
      </c>
      <c r="F4" s="5">
        <v>85</v>
      </c>
      <c r="G4" s="5" t="s">
        <v>42</v>
      </c>
    </row>
    <row r="5" spans="1:7" x14ac:dyDescent="0.25">
      <c r="A5" s="8" t="s">
        <v>43</v>
      </c>
      <c r="B5" s="4">
        <v>10</v>
      </c>
      <c r="C5" s="4">
        <v>25</v>
      </c>
      <c r="D5" s="4">
        <v>45</v>
      </c>
      <c r="E5" s="4">
        <v>65</v>
      </c>
      <c r="F5" s="4">
        <v>85</v>
      </c>
      <c r="G5" s="4" t="s">
        <v>44</v>
      </c>
    </row>
    <row r="6" spans="1:7" x14ac:dyDescent="0.25">
      <c r="A6" s="7" t="s">
        <v>45</v>
      </c>
      <c r="B6" s="5">
        <v>10</v>
      </c>
      <c r="C6" s="5">
        <v>30</v>
      </c>
      <c r="D6" s="5">
        <v>50</v>
      </c>
      <c r="E6" s="5">
        <v>70</v>
      </c>
      <c r="F6" s="5">
        <v>90</v>
      </c>
      <c r="G6" s="5" t="s">
        <v>46</v>
      </c>
    </row>
    <row r="7" spans="1:7" x14ac:dyDescent="0.25">
      <c r="A7" s="8" t="s">
        <v>47</v>
      </c>
      <c r="B7" s="4">
        <v>10</v>
      </c>
      <c r="C7" s="4">
        <v>20</v>
      </c>
      <c r="D7" s="4">
        <v>40</v>
      </c>
      <c r="E7" s="4">
        <v>60</v>
      </c>
      <c r="F7" s="4">
        <v>80</v>
      </c>
      <c r="G7" s="4" t="s">
        <v>48</v>
      </c>
    </row>
    <row r="8" spans="1:7" x14ac:dyDescent="0.25">
      <c r="A8" s="7" t="s">
        <v>49</v>
      </c>
      <c r="B8" s="5">
        <v>100</v>
      </c>
      <c r="C8" s="5">
        <v>150</v>
      </c>
      <c r="D8" s="5">
        <v>220</v>
      </c>
      <c r="E8" s="5">
        <v>300</v>
      </c>
      <c r="F8" s="5">
        <v>380</v>
      </c>
      <c r="G8" s="5" t="s">
        <v>50</v>
      </c>
    </row>
    <row r="9" spans="1:7" x14ac:dyDescent="0.25">
      <c r="A9" s="8" t="s">
        <v>51</v>
      </c>
      <c r="B9" s="4">
        <v>100</v>
      </c>
      <c r="C9" s="4">
        <v>100</v>
      </c>
      <c r="D9" s="4">
        <v>100</v>
      </c>
      <c r="E9" s="4">
        <v>100</v>
      </c>
      <c r="F9" s="4">
        <v>100</v>
      </c>
      <c r="G9" s="4" t="s">
        <v>52</v>
      </c>
    </row>
    <row r="11" spans="1:8" x14ac:dyDescent="0.25">
      <c r="A11" s="9" t="s">
        <v>53</v>
      </c>
      <c r="B11" s="9"/>
      <c r="C11" s="9"/>
      <c r="D11" s="9"/>
      <c r="E11" s="9"/>
      <c r="F11" s="9"/>
      <c r="G11" s="9"/>
      <c r="H11" s="9"/>
    </row>
    <row r="12" spans="1:8" x14ac:dyDescent="0.25">
      <c r="A12" s="3" t="s">
        <v>33</v>
      </c>
      <c r="B12" s="3" t="s">
        <v>54</v>
      </c>
      <c r="C12" s="3" t="s">
        <v>55</v>
      </c>
      <c r="D12" s="3" t="s">
        <v>56</v>
      </c>
      <c r="E12" s="3" t="s">
        <v>39</v>
      </c>
      <c r="F12" s="3" t="s">
        <v>40</v>
      </c>
      <c r="G12" s="3" t="s">
        <v>40</v>
      </c>
      <c r="H12" s="3" t="s">
        <v>40</v>
      </c>
    </row>
    <row r="13" spans="1:5" x14ac:dyDescent="0.25">
      <c r="A13" s="5" t="s">
        <v>57</v>
      </c>
      <c r="B13" s="10">
        <v>-0.5</v>
      </c>
      <c r="C13" s="10">
        <v>-1</v>
      </c>
      <c r="D13" s="5" t="s">
        <v>58</v>
      </c>
      <c r="E13" s="5" t="s">
        <v>59</v>
      </c>
    </row>
    <row r="14" spans="1:5" x14ac:dyDescent="0.25">
      <c r="A14" s="4" t="s">
        <v>60</v>
      </c>
      <c r="B14" s="11">
        <v>-0.7</v>
      </c>
      <c r="C14" s="11">
        <v>-1.4</v>
      </c>
      <c r="D14" s="4" t="s">
        <v>58</v>
      </c>
      <c r="E14" s="4" t="s">
        <v>59</v>
      </c>
    </row>
    <row r="15" spans="1:5" x14ac:dyDescent="0.25">
      <c r="A15" s="5" t="s">
        <v>61</v>
      </c>
      <c r="B15" s="10">
        <v>-0.3</v>
      </c>
      <c r="C15" s="10">
        <v>-0.6</v>
      </c>
      <c r="D15" s="5" t="s">
        <v>58</v>
      </c>
      <c r="E15" s="5" t="s">
        <v>59</v>
      </c>
    </row>
    <row r="16" spans="1:5" x14ac:dyDescent="0.25">
      <c r="A16" s="4" t="s">
        <v>62</v>
      </c>
      <c r="B16" s="4">
        <v>0</v>
      </c>
      <c r="C16" s="4">
        <v>0</v>
      </c>
      <c r="D16" s="4" t="s">
        <v>31</v>
      </c>
      <c r="E16" s="4" t="s">
        <v>63</v>
      </c>
    </row>
    <row r="17" spans="1:5" x14ac:dyDescent="0.25">
      <c r="A17" s="5" t="s">
        <v>64</v>
      </c>
      <c r="B17" s="5">
        <v>0</v>
      </c>
      <c r="C17" s="5">
        <v>0</v>
      </c>
      <c r="D17" s="5" t="s">
        <v>31</v>
      </c>
      <c r="E17" s="5" t="s">
        <v>65</v>
      </c>
    </row>
    <row r="19" spans="1:8" x14ac:dyDescent="0.25">
      <c r="A19" s="12" t="s">
        <v>66</v>
      </c>
      <c r="B19" s="12"/>
      <c r="C19" s="12"/>
      <c r="D19" s="12"/>
      <c r="E19" s="12"/>
      <c r="F19" s="12"/>
      <c r="G19" s="12"/>
      <c r="H19" s="12"/>
    </row>
    <row r="20" spans="1:8" x14ac:dyDescent="0.25">
      <c r="A20" s="13" t="s">
        <v>67</v>
      </c>
      <c r="B20" s="13"/>
      <c r="C20" s="13"/>
      <c r="D20" s="13"/>
      <c r="E20" s="13"/>
      <c r="F20" s="13"/>
      <c r="G20" s="13"/>
      <c r="H20" s="13"/>
    </row>
    <row r="21" spans="1:8" x14ac:dyDescent="0.25">
      <c r="A21" s="3" t="s">
        <v>68</v>
      </c>
      <c r="B21" s="3" t="s">
        <v>69</v>
      </c>
      <c r="C21" s="3" t="s">
        <v>70</v>
      </c>
      <c r="D21" s="3" t="s">
        <v>71</v>
      </c>
      <c r="E21" s="3" t="s">
        <v>40</v>
      </c>
      <c r="F21" s="3" t="s">
        <v>40</v>
      </c>
      <c r="G21" s="3" t="s">
        <v>40</v>
      </c>
      <c r="H21" s="3" t="s">
        <v>40</v>
      </c>
    </row>
    <row r="22" spans="1:4" x14ac:dyDescent="0.25">
      <c r="A22" s="5">
        <v>10</v>
      </c>
      <c r="B22" s="5">
        <v>80</v>
      </c>
      <c r="C22" s="5">
        <v>3</v>
      </c>
      <c r="D22" s="14">
        <f>=C22*(B22/A22)^0.4</f>
      </c>
    </row>
    <row r="23" spans="1:4" x14ac:dyDescent="0.25">
      <c r="A23" s="4">
        <v>25</v>
      </c>
      <c r="B23" s="4">
        <v>80</v>
      </c>
      <c r="C23" s="4">
        <v>3</v>
      </c>
      <c r="D23" s="15">
        <f>=C23*(B23/A23)^0.4</f>
      </c>
    </row>
    <row r="24" spans="1:4" x14ac:dyDescent="0.25">
      <c r="A24" s="5">
        <v>40</v>
      </c>
      <c r="B24" s="5">
        <v>80</v>
      </c>
      <c r="C24" s="5">
        <v>3</v>
      </c>
      <c r="D24" s="14">
        <f>=C24*(B24/A24)^0.4</f>
      </c>
    </row>
    <row r="25" spans="1:4" x14ac:dyDescent="0.25">
      <c r="A25" s="4">
        <v>60</v>
      </c>
      <c r="B25" s="4">
        <v>80</v>
      </c>
      <c r="C25" s="4">
        <v>3</v>
      </c>
      <c r="D25" s="15">
        <f>=C25*(B25/A25)^0.4</f>
      </c>
    </row>
    <row r="26" spans="1:4" x14ac:dyDescent="0.25">
      <c r="A26" s="5">
        <v>75</v>
      </c>
      <c r="B26" s="5">
        <v>80</v>
      </c>
      <c r="C26" s="5">
        <v>3</v>
      </c>
      <c r="D26" s="14">
        <f>=C26*(B26/A26)^0.4</f>
      </c>
    </row>
  </sheetData>
  <mergeCells count="4">
    <mergeCell ref="A1:H1"/>
    <mergeCell ref="A11:H11"/>
    <mergeCell ref="A19:H19"/>
    <mergeCell ref="A20:H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22" customWidth="1"/>
    <col min="2" max="5" width="16" customWidth="1"/>
    <col min="6" max="6" width="22" customWidth="1"/>
  </cols>
  <sheetData>
    <row r="1" spans="1:6" x14ac:dyDescent="0.25">
      <c r="A1" s="6" t="s">
        <v>72</v>
      </c>
      <c r="B1" s="6"/>
      <c r="C1" s="6"/>
      <c r="D1" s="6"/>
      <c r="E1" s="6"/>
      <c r="F1" s="6"/>
    </row>
    <row r="3" spans="1:6" x14ac:dyDescent="0.25">
      <c r="A3" s="16" t="s">
        <v>73</v>
      </c>
      <c r="B3" s="16"/>
      <c r="C3" s="16"/>
      <c r="D3" s="16"/>
      <c r="E3" s="16"/>
      <c r="F3" s="16"/>
    </row>
    <row r="4" spans="1:6" x14ac:dyDescent="0.25">
      <c r="A4" s="5" t="s">
        <v>74</v>
      </c>
      <c r="B4" s="5">
        <v>50</v>
      </c>
      <c r="C4" s="5" t="s">
        <v>40</v>
      </c>
      <c r="D4" s="5" t="s">
        <v>75</v>
      </c>
      <c r="E4" s="5">
        <v>45</v>
      </c>
      <c r="F4" s="5" t="s">
        <v>40</v>
      </c>
    </row>
    <row r="5" spans="1:6" x14ac:dyDescent="0.25">
      <c r="A5" s="17" t="s">
        <v>76</v>
      </c>
      <c r="B5" s="18">
        <v>45</v>
      </c>
      <c r="C5" s="19" t="s">
        <v>40</v>
      </c>
      <c r="D5" s="17" t="s">
        <v>77</v>
      </c>
      <c r="E5" s="18">
        <v>40</v>
      </c>
      <c r="F5" s="19" t="s">
        <v>40</v>
      </c>
    </row>
    <row r="6" spans="1:6" x14ac:dyDescent="0.25">
      <c r="A6" s="5" t="s">
        <v>78</v>
      </c>
      <c r="B6" s="5">
        <v>40</v>
      </c>
      <c r="C6" s="5" t="s">
        <v>40</v>
      </c>
      <c r="D6" s="5" t="s">
        <v>79</v>
      </c>
      <c r="E6" s="5">
        <v>35</v>
      </c>
      <c r="F6" s="5" t="s">
        <v>40</v>
      </c>
    </row>
    <row r="7" spans="1:6" x14ac:dyDescent="0.25">
      <c r="A7" s="17" t="s">
        <v>80</v>
      </c>
      <c r="B7" s="18">
        <v>1</v>
      </c>
      <c r="C7" s="19" t="s">
        <v>40</v>
      </c>
      <c r="D7" s="17" t="s">
        <v>81</v>
      </c>
      <c r="E7" s="18">
        <v>1.1</v>
      </c>
      <c r="F7" s="19" t="s">
        <v>40</v>
      </c>
    </row>
    <row r="8" spans="1:6" x14ac:dyDescent="0.25">
      <c r="A8" s="5" t="s">
        <v>82</v>
      </c>
      <c r="B8" s="5" t="s">
        <v>83</v>
      </c>
      <c r="C8" s="5" t="s">
        <v>84</v>
      </c>
      <c r="D8" s="5" t="s">
        <v>40</v>
      </c>
      <c r="E8" s="5" t="s">
        <v>40</v>
      </c>
      <c r="F8" s="5" t="s">
        <v>40</v>
      </c>
    </row>
    <row r="9" spans="1:6" x14ac:dyDescent="0.25">
      <c r="A9" s="17" t="s">
        <v>85</v>
      </c>
      <c r="B9" s="18" t="s">
        <v>86</v>
      </c>
      <c r="C9" s="19" t="s">
        <v>87</v>
      </c>
      <c r="D9" s="17" t="s">
        <v>40</v>
      </c>
      <c r="E9" s="18" t="s">
        <v>40</v>
      </c>
      <c r="F9" s="19" t="s">
        <v>40</v>
      </c>
    </row>
    <row r="11" spans="1:6" x14ac:dyDescent="0.25">
      <c r="A11" s="20" t="s">
        <v>88</v>
      </c>
      <c r="B11" s="20"/>
      <c r="C11" s="20"/>
      <c r="D11" s="20"/>
      <c r="E11" s="20"/>
      <c r="F11" s="20"/>
    </row>
    <row r="12" spans="1:6" x14ac:dyDescent="0.25">
      <c r="A12" s="3" t="s">
        <v>89</v>
      </c>
      <c r="B12" s="3" t="s">
        <v>90</v>
      </c>
      <c r="C12" s="3" t="s">
        <v>91</v>
      </c>
      <c r="D12" s="3" t="s">
        <v>92</v>
      </c>
      <c r="E12" s="3" t="s">
        <v>39</v>
      </c>
      <c r="F12" s="3" t="s">
        <v>40</v>
      </c>
    </row>
    <row r="13" spans="1:5" x14ac:dyDescent="0.25">
      <c r="A13" s="17" t="s">
        <v>93</v>
      </c>
      <c r="B13" s="21" t="s">
        <v>94</v>
      </c>
      <c r="C13" s="22" t="s">
        <v>95</v>
      </c>
      <c r="D13" s="23" t="s">
        <v>96</v>
      </c>
      <c r="E13" s="23" t="s">
        <v>97</v>
      </c>
    </row>
    <row r="14" spans="1:5" x14ac:dyDescent="0.25">
      <c r="A14" s="17" t="s">
        <v>98</v>
      </c>
      <c r="B14" s="23" t="s">
        <v>99</v>
      </c>
      <c r="C14" s="23" t="s">
        <v>100</v>
      </c>
      <c r="D14" s="23" t="s">
        <v>40</v>
      </c>
      <c r="E14" s="23" t="s">
        <v>101</v>
      </c>
    </row>
    <row r="15" spans="1:5" x14ac:dyDescent="0.25">
      <c r="A15" s="17" t="s">
        <v>102</v>
      </c>
      <c r="B15" s="21" t="s">
        <v>103</v>
      </c>
      <c r="C15" s="24">
        <v>1</v>
      </c>
      <c r="D15" s="23" t="s">
        <v>40</v>
      </c>
      <c r="E15" s="23" t="s">
        <v>104</v>
      </c>
    </row>
    <row r="16" spans="1:5" x14ac:dyDescent="0.25">
      <c r="A16" s="17" t="s">
        <v>105</v>
      </c>
      <c r="B16" s="23" t="s">
        <v>106</v>
      </c>
      <c r="C16" s="23" t="s">
        <v>107</v>
      </c>
      <c r="D16" s="23" t="s">
        <v>108</v>
      </c>
      <c r="E16" s="23" t="s">
        <v>109</v>
      </c>
    </row>
    <row r="17" spans="1:5" x14ac:dyDescent="0.25">
      <c r="A17" s="17" t="s">
        <v>110</v>
      </c>
      <c r="B17" s="21" t="s">
        <v>111</v>
      </c>
      <c r="C17" s="22" t="s">
        <v>112</v>
      </c>
      <c r="D17" s="23" t="s">
        <v>40</v>
      </c>
      <c r="E17" s="23" t="s">
        <v>113</v>
      </c>
    </row>
    <row r="18" spans="1:5" x14ac:dyDescent="0.25">
      <c r="A18" s="17" t="s">
        <v>114</v>
      </c>
      <c r="B18" s="23" t="s">
        <v>115</v>
      </c>
      <c r="C18" s="23" t="s">
        <v>116</v>
      </c>
      <c r="D18" s="23" t="s">
        <v>117</v>
      </c>
      <c r="E18" s="23" t="s">
        <v>118</v>
      </c>
    </row>
    <row r="20" spans="1:6" x14ac:dyDescent="0.25">
      <c r="A20" s="9" t="s">
        <v>119</v>
      </c>
      <c r="B20" s="9"/>
      <c r="C20" s="9"/>
      <c r="D20" s="9"/>
      <c r="E20" s="9"/>
      <c r="F20" s="9"/>
    </row>
    <row r="21" spans="1:6" x14ac:dyDescent="0.25">
      <c r="A21" s="3" t="s">
        <v>120</v>
      </c>
      <c r="B21" s="3" t="s">
        <v>121</v>
      </c>
      <c r="C21" s="3" t="s">
        <v>122</v>
      </c>
      <c r="D21" s="3" t="s">
        <v>123</v>
      </c>
      <c r="E21" s="3" t="s">
        <v>124</v>
      </c>
      <c r="F21" s="3" t="s">
        <v>39</v>
      </c>
    </row>
    <row r="22" spans="1:6" x14ac:dyDescent="0.25">
      <c r="A22" s="5" t="s">
        <v>125</v>
      </c>
      <c r="B22" s="5">
        <v>80</v>
      </c>
      <c r="C22" s="5">
        <v>90</v>
      </c>
      <c r="D22" s="5" t="s">
        <v>126</v>
      </c>
      <c r="E22" s="25" t="s">
        <v>127</v>
      </c>
      <c r="F22" s="5" t="s">
        <v>128</v>
      </c>
    </row>
    <row r="23" spans="1:6" x14ac:dyDescent="0.25">
      <c r="A23" s="4" t="s">
        <v>129</v>
      </c>
      <c r="B23" s="4">
        <v>160</v>
      </c>
      <c r="C23" s="4">
        <v>185</v>
      </c>
      <c r="D23" s="4" t="s">
        <v>130</v>
      </c>
      <c r="E23" s="25" t="s">
        <v>131</v>
      </c>
      <c r="F23" s="4" t="s">
        <v>40</v>
      </c>
    </row>
    <row r="24" spans="1:6" x14ac:dyDescent="0.25">
      <c r="A24" s="5" t="s">
        <v>132</v>
      </c>
      <c r="B24" s="5">
        <v>250</v>
      </c>
      <c r="C24" s="5">
        <v>290</v>
      </c>
      <c r="D24" s="5" t="s">
        <v>133</v>
      </c>
      <c r="E24" s="25" t="s">
        <v>134</v>
      </c>
      <c r="F24" s="5" t="s">
        <v>40</v>
      </c>
    </row>
    <row r="25" spans="1:6" x14ac:dyDescent="0.25">
      <c r="A25" s="4" t="s">
        <v>135</v>
      </c>
      <c r="B25" s="4">
        <v>340</v>
      </c>
      <c r="C25" s="4">
        <v>395</v>
      </c>
      <c r="D25" s="4" t="s">
        <v>136</v>
      </c>
      <c r="E25" s="25" t="s">
        <v>137</v>
      </c>
      <c r="F25" s="4" t="s">
        <v>138</v>
      </c>
    </row>
  </sheetData>
  <mergeCells count="4">
    <mergeCell ref="A1:F1"/>
    <mergeCell ref="A3:F3"/>
    <mergeCell ref="A11:F11"/>
    <mergeCell ref="A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24" customWidth="1"/>
    <col min="2" max="5" width="16" customWidth="1"/>
    <col min="6" max="6" width="24" customWidth="1"/>
  </cols>
  <sheetData>
    <row r="1" spans="1:6" x14ac:dyDescent="0.25">
      <c r="A1" s="6" t="s">
        <v>139</v>
      </c>
      <c r="B1" s="6"/>
      <c r="C1" s="6"/>
      <c r="D1" s="6"/>
      <c r="E1" s="6"/>
      <c r="F1" s="6"/>
    </row>
    <row r="3" spans="1:6" x14ac:dyDescent="0.25">
      <c r="A3" s="16" t="s">
        <v>140</v>
      </c>
      <c r="B3" s="16"/>
      <c r="C3" s="16"/>
      <c r="D3" s="16"/>
      <c r="E3" s="16"/>
      <c r="F3" s="16"/>
    </row>
    <row r="4" spans="1:4" s="26" customFormat="1" x14ac:dyDescent="0.25">
      <c r="A4" s="7" t="s">
        <v>141</v>
      </c>
      <c r="B4" s="27">
        <v>100</v>
      </c>
      <c r="C4" s="28" t="s">
        <v>40</v>
      </c>
      <c r="D4" s="28" t="s">
        <v>142</v>
      </c>
    </row>
    <row r="5" spans="1:4" x14ac:dyDescent="0.25">
      <c r="A5" s="17" t="s">
        <v>143</v>
      </c>
      <c r="B5" s="18">
        <v>15</v>
      </c>
      <c r="C5" s="19" t="s">
        <v>40</v>
      </c>
      <c r="D5" s="19" t="s">
        <v>144</v>
      </c>
    </row>
    <row r="6" spans="1:4" s="26" customFormat="1" x14ac:dyDescent="0.25">
      <c r="A6" s="7" t="s">
        <v>145</v>
      </c>
      <c r="B6" s="27">
        <v>15</v>
      </c>
      <c r="C6" s="28" t="s">
        <v>40</v>
      </c>
      <c r="D6" s="28" t="s">
        <v>144</v>
      </c>
    </row>
    <row r="7" spans="1:4" x14ac:dyDescent="0.25">
      <c r="A7" s="17" t="s">
        <v>146</v>
      </c>
      <c r="B7" s="29">
        <f>=B5+B6</f>
      </c>
      <c r="C7" s="19" t="s">
        <v>40</v>
      </c>
      <c r="D7" s="19" t="s">
        <v>147</v>
      </c>
    </row>
    <row r="8" spans="1:4" s="26" customFormat="1" x14ac:dyDescent="0.25">
      <c r="A8" s="7" t="s">
        <v>148</v>
      </c>
      <c r="B8" s="5">
        <f>=B4-B7</f>
      </c>
      <c r="C8" s="28" t="s">
        <v>40</v>
      </c>
      <c r="D8" s="28" t="s">
        <v>149</v>
      </c>
    </row>
    <row r="10" spans="1:6" x14ac:dyDescent="0.25">
      <c r="A10" s="20" t="s">
        <v>150</v>
      </c>
      <c r="B10" s="20"/>
      <c r="C10" s="20"/>
      <c r="D10" s="20"/>
      <c r="E10" s="20"/>
      <c r="F10" s="20"/>
    </row>
    <row r="11" spans="1:6" x14ac:dyDescent="0.25">
      <c r="A11" s="3" t="s">
        <v>151</v>
      </c>
      <c r="B11" s="3" t="s">
        <v>152</v>
      </c>
      <c r="C11" s="3" t="s">
        <v>153</v>
      </c>
      <c r="D11" s="3" t="s">
        <v>154</v>
      </c>
      <c r="E11" s="3" t="s">
        <v>155</v>
      </c>
      <c r="F11" s="3" t="s">
        <v>39</v>
      </c>
    </row>
    <row r="12" spans="1:6" x14ac:dyDescent="0.25">
      <c r="A12" s="5" t="s">
        <v>156</v>
      </c>
      <c r="B12" s="10">
        <v>-15</v>
      </c>
      <c r="C12" s="5" t="s">
        <v>157</v>
      </c>
      <c r="D12" s="5">
        <v>0</v>
      </c>
      <c r="E12" s="5" t="s">
        <v>158</v>
      </c>
      <c r="F12" s="5" t="s">
        <v>159</v>
      </c>
    </row>
    <row r="13" spans="1:6" x14ac:dyDescent="0.25">
      <c r="A13" s="4" t="s">
        <v>160</v>
      </c>
      <c r="B13" s="11">
        <v>-15</v>
      </c>
      <c r="C13" s="4" t="s">
        <v>157</v>
      </c>
      <c r="D13" s="4">
        <v>0</v>
      </c>
      <c r="E13" s="4" t="s">
        <v>158</v>
      </c>
      <c r="F13" s="4" t="s">
        <v>159</v>
      </c>
    </row>
    <row r="14" spans="1:6" x14ac:dyDescent="0.25">
      <c r="A14" s="5" t="s">
        <v>161</v>
      </c>
      <c r="B14" s="10">
        <v>-20</v>
      </c>
      <c r="C14" s="5" t="s">
        <v>162</v>
      </c>
      <c r="D14" s="5">
        <v>0</v>
      </c>
      <c r="E14" s="5" t="s">
        <v>163</v>
      </c>
      <c r="F14" s="5" t="s">
        <v>164</v>
      </c>
    </row>
    <row r="15" spans="1:6" x14ac:dyDescent="0.25">
      <c r="A15" s="4" t="s">
        <v>165</v>
      </c>
      <c r="B15" s="11">
        <v>-10</v>
      </c>
      <c r="C15" s="4" t="s">
        <v>166</v>
      </c>
      <c r="D15" s="4">
        <v>0</v>
      </c>
      <c r="E15" s="4" t="s">
        <v>167</v>
      </c>
      <c r="F15" s="4" t="s">
        <v>168</v>
      </c>
    </row>
    <row r="16" spans="1:6" x14ac:dyDescent="0.25">
      <c r="A16" s="5" t="s">
        <v>169</v>
      </c>
      <c r="B16" s="10">
        <v>-8</v>
      </c>
      <c r="C16" s="5" t="s">
        <v>170</v>
      </c>
      <c r="D16" s="5">
        <v>0</v>
      </c>
      <c r="E16" s="5" t="s">
        <v>171</v>
      </c>
      <c r="F16" s="5" t="s">
        <v>40</v>
      </c>
    </row>
    <row r="17" spans="1:6" x14ac:dyDescent="0.25">
      <c r="A17" s="4" t="s">
        <v>172</v>
      </c>
      <c r="B17" s="11">
        <v>-25</v>
      </c>
      <c r="C17" s="4" t="s">
        <v>173</v>
      </c>
      <c r="D17" s="4">
        <v>200</v>
      </c>
      <c r="E17" s="4" t="s">
        <v>163</v>
      </c>
      <c r="F17" s="4" t="s">
        <v>174</v>
      </c>
    </row>
    <row r="18" spans="1:6" x14ac:dyDescent="0.25">
      <c r="A18" s="5" t="s">
        <v>175</v>
      </c>
      <c r="B18" s="10">
        <v>-18</v>
      </c>
      <c r="C18" s="5" t="s">
        <v>176</v>
      </c>
      <c r="D18" s="5">
        <v>0</v>
      </c>
      <c r="E18" s="5" t="s">
        <v>163</v>
      </c>
      <c r="F18" s="5" t="s">
        <v>164</v>
      </c>
    </row>
    <row r="19" spans="1:6" x14ac:dyDescent="0.25">
      <c r="A19" s="4" t="s">
        <v>177</v>
      </c>
      <c r="B19" s="11">
        <v>-5</v>
      </c>
      <c r="C19" s="4" t="s">
        <v>178</v>
      </c>
      <c r="D19" s="4">
        <v>50</v>
      </c>
      <c r="E19" s="4" t="s">
        <v>179</v>
      </c>
      <c r="F19" s="4" t="s">
        <v>40</v>
      </c>
    </row>
    <row r="20" spans="1:6" x14ac:dyDescent="0.25">
      <c r="A20" s="5" t="s">
        <v>180</v>
      </c>
      <c r="B20" s="10">
        <v>-20</v>
      </c>
      <c r="C20" s="5" t="s">
        <v>157</v>
      </c>
      <c r="D20" s="5" t="s">
        <v>181</v>
      </c>
      <c r="E20" s="5" t="s">
        <v>167</v>
      </c>
      <c r="F20" s="5" t="s">
        <v>40</v>
      </c>
    </row>
    <row r="21" spans="1:6" x14ac:dyDescent="0.25">
      <c r="A21" s="4" t="s">
        <v>182</v>
      </c>
      <c r="B21" s="30">
        <v>30</v>
      </c>
      <c r="C21" s="4" t="s">
        <v>183</v>
      </c>
      <c r="D21" s="4">
        <v>0</v>
      </c>
      <c r="E21" s="4" t="s">
        <v>184</v>
      </c>
      <c r="F21" s="4" t="s">
        <v>185</v>
      </c>
    </row>
    <row r="23" spans="1:6" x14ac:dyDescent="0.25">
      <c r="A23" s="16" t="s">
        <v>186</v>
      </c>
      <c r="B23" s="16"/>
      <c r="C23" s="16"/>
      <c r="D23" s="16"/>
      <c r="E23" s="16"/>
      <c r="F23" s="16"/>
    </row>
    <row r="24" spans="1:6" x14ac:dyDescent="0.25">
      <c r="A24" s="3" t="s">
        <v>187</v>
      </c>
      <c r="B24" s="3" t="s">
        <v>188</v>
      </c>
      <c r="C24" s="3" t="s">
        <v>189</v>
      </c>
      <c r="D24" s="3" t="s">
        <v>190</v>
      </c>
      <c r="E24" s="3" t="s">
        <v>191</v>
      </c>
      <c r="F24" s="3" t="s">
        <v>192</v>
      </c>
    </row>
    <row r="25" spans="1:6" x14ac:dyDescent="0.25">
      <c r="A25" s="5" t="s">
        <v>193</v>
      </c>
      <c r="B25" s="5">
        <v>30</v>
      </c>
      <c r="C25" s="5">
        <v>3</v>
      </c>
      <c r="D25" s="5">
        <v>70</v>
      </c>
      <c r="E25" s="5" t="s">
        <v>194</v>
      </c>
      <c r="F25" s="5" t="s">
        <v>195</v>
      </c>
    </row>
    <row r="26" spans="1:6" x14ac:dyDescent="0.25">
      <c r="A26" s="31" t="s">
        <v>196</v>
      </c>
      <c r="B26" s="31">
        <v>0</v>
      </c>
      <c r="C26" s="31">
        <v>4</v>
      </c>
      <c r="D26" s="31">
        <v>100</v>
      </c>
      <c r="E26" s="25" t="s">
        <v>197</v>
      </c>
      <c r="F26" s="31" t="s">
        <v>198</v>
      </c>
    </row>
    <row r="27" spans="1:6" x14ac:dyDescent="0.25">
      <c r="A27" s="5" t="s">
        <v>199</v>
      </c>
      <c r="B27" s="5">
        <v>15</v>
      </c>
      <c r="C27" s="5">
        <v>4</v>
      </c>
      <c r="D27" s="5">
        <v>85</v>
      </c>
      <c r="E27" s="5" t="s">
        <v>200</v>
      </c>
      <c r="F27" s="5" t="s">
        <v>201</v>
      </c>
    </row>
  </sheetData>
  <mergeCells count="4">
    <mergeCell ref="A1:F1"/>
    <mergeCell ref="A3:F3"/>
    <mergeCell ref="A10:F10"/>
    <mergeCell ref="A23:F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22" customWidth="1"/>
    <col min="2" max="5" width="16" customWidth="1"/>
    <col min="6" max="6" width="20" customWidth="1"/>
  </cols>
  <sheetData>
    <row r="1" spans="1:6" x14ac:dyDescent="0.25">
      <c r="A1" s="6" t="s">
        <v>202</v>
      </c>
      <c r="B1" s="6"/>
      <c r="C1" s="6"/>
      <c r="D1" s="6"/>
      <c r="E1" s="6"/>
      <c r="F1" s="6"/>
    </row>
    <row r="3" spans="1:6" x14ac:dyDescent="0.25">
      <c r="A3" s="20" t="s">
        <v>203</v>
      </c>
      <c r="B3" s="20"/>
      <c r="C3" s="20"/>
      <c r="D3" s="20"/>
      <c r="E3" s="20"/>
      <c r="F3" s="20"/>
    </row>
    <row r="4" spans="1:6" x14ac:dyDescent="0.25">
      <c r="A4" s="3" t="s">
        <v>204</v>
      </c>
      <c r="B4" s="3" t="s">
        <v>154</v>
      </c>
      <c r="C4" s="3" t="s">
        <v>205</v>
      </c>
      <c r="D4" s="3" t="s">
        <v>206</v>
      </c>
      <c r="E4" s="3" t="s">
        <v>39</v>
      </c>
      <c r="F4" s="3" t="s">
        <v>40</v>
      </c>
    </row>
    <row r="5" spans="1:5" x14ac:dyDescent="0.25">
      <c r="A5" s="5" t="s">
        <v>207</v>
      </c>
      <c r="B5" s="32">
        <v>300</v>
      </c>
      <c r="C5" s="5" t="s">
        <v>208</v>
      </c>
      <c r="D5" s="32">
        <f>=B5*4</f>
      </c>
      <c r="E5" s="5" t="s">
        <v>209</v>
      </c>
    </row>
    <row r="6" spans="1:5" x14ac:dyDescent="0.25">
      <c r="A6" s="33" t="s">
        <v>210</v>
      </c>
      <c r="B6" s="34">
        <v>250</v>
      </c>
      <c r="C6" s="35" t="s">
        <v>208</v>
      </c>
      <c r="D6" s="36">
        <f>=B6*4</f>
      </c>
      <c r="E6" s="35" t="s">
        <v>211</v>
      </c>
    </row>
    <row r="7" spans="1:5" x14ac:dyDescent="0.25">
      <c r="A7" s="37" t="s">
        <v>212</v>
      </c>
      <c r="B7" s="38">
        <f>=B5+B6</f>
      </c>
      <c r="C7" s="37" t="s">
        <v>208</v>
      </c>
      <c r="D7" s="38">
        <f>=D5+D6</f>
      </c>
      <c r="E7" s="37" t="s">
        <v>40</v>
      </c>
    </row>
    <row r="9" spans="1:6" x14ac:dyDescent="0.25">
      <c r="A9" s="39" t="s">
        <v>213</v>
      </c>
      <c r="B9" s="39"/>
      <c r="C9" s="39"/>
      <c r="D9" s="39"/>
      <c r="E9" s="39"/>
      <c r="F9" s="39"/>
    </row>
    <row r="10" spans="1:6" x14ac:dyDescent="0.25">
      <c r="A10" s="3" t="s">
        <v>214</v>
      </c>
      <c r="B10" s="3" t="s">
        <v>215</v>
      </c>
      <c r="C10" s="3" t="s">
        <v>216</v>
      </c>
      <c r="D10" s="3" t="s">
        <v>217</v>
      </c>
      <c r="E10" s="3" t="s">
        <v>218</v>
      </c>
      <c r="F10" s="3" t="s">
        <v>39</v>
      </c>
    </row>
    <row r="11" spans="1:6" x14ac:dyDescent="0.25">
      <c r="A11" s="5" t="s">
        <v>219</v>
      </c>
      <c r="B11" s="32">
        <v>225</v>
      </c>
      <c r="C11" s="32">
        <v>225</v>
      </c>
      <c r="D11" s="32">
        <v>225</v>
      </c>
      <c r="E11" s="32">
        <v>225</v>
      </c>
      <c r="F11" s="5" t="s">
        <v>220</v>
      </c>
    </row>
    <row r="12" spans="1:6" x14ac:dyDescent="0.25">
      <c r="A12" s="17" t="s">
        <v>221</v>
      </c>
      <c r="B12" s="40">
        <v>200</v>
      </c>
      <c r="C12" s="40">
        <v>600</v>
      </c>
      <c r="D12" s="40">
        <v>1500</v>
      </c>
      <c r="E12" s="40">
        <v>3000</v>
      </c>
      <c r="F12" s="23" t="s">
        <v>222</v>
      </c>
    </row>
    <row r="13" spans="1:6" x14ac:dyDescent="0.25">
      <c r="A13" s="37" t="s">
        <v>223</v>
      </c>
      <c r="B13" s="41">
        <f>=B12+B13</f>
      </c>
      <c r="C13" s="41">
        <f>=C12+C13</f>
      </c>
      <c r="D13" s="41">
        <f>=D12+D13</f>
      </c>
      <c r="E13" s="41">
        <f>=E12+E13</f>
      </c>
      <c r="F13" s="37" t="s">
        <v>40</v>
      </c>
    </row>
    <row r="14" spans="1:6" x14ac:dyDescent="0.25">
      <c r="A14" s="42" t="s">
        <v>224</v>
      </c>
      <c r="B14" s="43">
        <f>=B14-$B$7</f>
      </c>
      <c r="C14" s="43">
        <f>=C14-$B$7</f>
      </c>
      <c r="D14" s="43">
        <f>=D14-$B$7</f>
      </c>
      <c r="E14" s="43">
        <f>=E14-$B$7</f>
      </c>
      <c r="F14" s="44" t="s">
        <v>40</v>
      </c>
    </row>
    <row r="17" spans="1:6" x14ac:dyDescent="0.25">
      <c r="A17" s="45" t="s">
        <v>225</v>
      </c>
      <c r="B17" s="45"/>
      <c r="C17" s="45"/>
      <c r="D17" s="45"/>
      <c r="E17" s="45"/>
      <c r="F17" s="45"/>
    </row>
    <row r="18" spans="1:6" s="26" customFormat="1" x14ac:dyDescent="0.25">
      <c r="A18" s="46" t="s">
        <v>226</v>
      </c>
      <c r="B18" s="28" t="s">
        <v>227</v>
      </c>
      <c r="C18" s="28"/>
      <c r="D18" s="28"/>
      <c r="E18" s="28"/>
      <c r="F18" s="28"/>
    </row>
    <row r="19" spans="1:6" x14ac:dyDescent="0.25">
      <c r="A19" s="47" t="s">
        <v>228</v>
      </c>
      <c r="B19" s="19" t="s">
        <v>229</v>
      </c>
      <c r="C19" s="19"/>
      <c r="D19" s="19"/>
      <c r="E19" s="19"/>
      <c r="F19" s="19"/>
    </row>
    <row r="20" spans="1:6" s="26" customFormat="1" x14ac:dyDescent="0.25">
      <c r="A20" s="46" t="s">
        <v>230</v>
      </c>
      <c r="B20" s="28" t="s">
        <v>231</v>
      </c>
      <c r="C20" s="28"/>
      <c r="D20" s="28"/>
      <c r="E20" s="28"/>
      <c r="F20" s="28"/>
    </row>
  </sheetData>
  <mergeCells count="7">
    <mergeCell ref="A1:F1"/>
    <mergeCell ref="A3:F3"/>
    <mergeCell ref="A9:F9"/>
    <mergeCell ref="A17:F17"/>
    <mergeCell ref="B18:F18"/>
    <mergeCell ref="B19:F19"/>
    <mergeCell ref="B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6" customWidth="1"/>
    <col min="2" max="5" width="16" customWidth="1"/>
    <col min="6" max="6" width="22" customWidth="1"/>
  </cols>
  <sheetData>
    <row r="1" spans="1:6" x14ac:dyDescent="0.25">
      <c r="A1" s="6" t="s">
        <v>232</v>
      </c>
      <c r="B1" s="6"/>
      <c r="C1" s="6"/>
      <c r="D1" s="6"/>
      <c r="E1" s="6"/>
      <c r="F1" s="6"/>
    </row>
    <row r="3" spans="1:6" x14ac:dyDescent="0.25">
      <c r="A3" s="20" t="s">
        <v>233</v>
      </c>
      <c r="B3" s="20"/>
      <c r="C3" s="20"/>
      <c r="D3" s="20"/>
      <c r="E3" s="20"/>
      <c r="F3" s="20"/>
    </row>
    <row r="4" spans="1:6" x14ac:dyDescent="0.25">
      <c r="A4" s="3" t="s">
        <v>234</v>
      </c>
      <c r="B4" s="3" t="s">
        <v>235</v>
      </c>
      <c r="C4" s="3" t="s">
        <v>236</v>
      </c>
      <c r="D4" s="3" t="s">
        <v>237</v>
      </c>
      <c r="E4" s="3" t="s">
        <v>238</v>
      </c>
      <c r="F4" s="3" t="s">
        <v>39</v>
      </c>
    </row>
    <row r="5" spans="1:6" x14ac:dyDescent="0.25">
      <c r="A5" s="5" t="s">
        <v>239</v>
      </c>
      <c r="B5" s="48">
        <v>800</v>
      </c>
      <c r="C5" s="5">
        <v>30</v>
      </c>
      <c r="D5" s="5" t="s">
        <v>240</v>
      </c>
      <c r="E5" s="5" t="s">
        <v>241</v>
      </c>
      <c r="F5" s="5" t="s">
        <v>242</v>
      </c>
    </row>
    <row r="6" spans="1:6" x14ac:dyDescent="0.25">
      <c r="A6" s="4" t="s">
        <v>243</v>
      </c>
      <c r="B6" s="49">
        <v>1200</v>
      </c>
      <c r="C6" s="4">
        <v>30</v>
      </c>
      <c r="D6" s="4" t="s">
        <v>244</v>
      </c>
      <c r="E6" s="4" t="s">
        <v>245</v>
      </c>
      <c r="F6" s="4" t="s">
        <v>242</v>
      </c>
    </row>
    <row r="7" spans="1:6" x14ac:dyDescent="0.25">
      <c r="A7" s="5" t="s">
        <v>246</v>
      </c>
      <c r="B7" s="48">
        <v>3500</v>
      </c>
      <c r="C7" s="5">
        <v>30</v>
      </c>
      <c r="D7" s="5" t="s">
        <v>247</v>
      </c>
      <c r="E7" s="5" t="s">
        <v>248</v>
      </c>
      <c r="F7" s="5" t="s">
        <v>249</v>
      </c>
    </row>
    <row r="8" spans="1:6" x14ac:dyDescent="0.25">
      <c r="A8" s="4" t="s">
        <v>250</v>
      </c>
      <c r="B8" s="49">
        <v>600</v>
      </c>
      <c r="C8" s="4">
        <v>15</v>
      </c>
      <c r="D8" s="4" t="s">
        <v>251</v>
      </c>
      <c r="E8" s="4" t="s">
        <v>252</v>
      </c>
      <c r="F8" s="4" t="s">
        <v>253</v>
      </c>
    </row>
    <row r="9" spans="1:6" x14ac:dyDescent="0.25">
      <c r="A9" s="50" t="s">
        <v>254</v>
      </c>
      <c r="B9" s="51">
        <v>0</v>
      </c>
      <c r="C9" s="50">
        <v>0</v>
      </c>
      <c r="D9" s="50" t="s">
        <v>255</v>
      </c>
      <c r="E9" s="50" t="s">
        <v>256</v>
      </c>
      <c r="F9" s="50" t="s">
        <v>257</v>
      </c>
    </row>
    <row r="11" spans="1:6" x14ac:dyDescent="0.25">
      <c r="A11" s="39" t="s">
        <v>258</v>
      </c>
      <c r="B11" s="39"/>
      <c r="C11" s="39"/>
      <c r="D11" s="39"/>
      <c r="E11" s="39"/>
      <c r="F11" s="39"/>
    </row>
    <row r="12" spans="1:4" x14ac:dyDescent="0.25">
      <c r="A12" s="5" t="s">
        <v>259</v>
      </c>
      <c r="B12" s="32">
        <v>3500</v>
      </c>
      <c r="C12" s="5" t="s">
        <v>260</v>
      </c>
      <c r="D12" s="5" t="s">
        <v>40</v>
      </c>
    </row>
    <row r="13" spans="1:4" x14ac:dyDescent="0.25">
      <c r="A13" s="17" t="s">
        <v>261</v>
      </c>
      <c r="B13" s="52">
        <v>30</v>
      </c>
      <c r="C13" s="19" t="s">
        <v>262</v>
      </c>
      <c r="D13" s="19" t="s">
        <v>263</v>
      </c>
    </row>
    <row r="14" spans="1:4" x14ac:dyDescent="0.25">
      <c r="A14" s="5" t="s">
        <v>264</v>
      </c>
      <c r="B14" s="53">
        <f>=B13/20</f>
      </c>
      <c r="C14" s="5" t="s">
        <v>265</v>
      </c>
      <c r="D14" s="5" t="s">
        <v>266</v>
      </c>
    </row>
    <row r="15" spans="1:4" x14ac:dyDescent="0.25">
      <c r="A15" s="17" t="s">
        <v>267</v>
      </c>
      <c r="B15" s="54">
        <f>=B14*2.5</f>
      </c>
      <c r="C15" s="19" t="s">
        <v>268</v>
      </c>
      <c r="D15" s="19" t="s">
        <v>269</v>
      </c>
    </row>
    <row r="16" spans="1:4" x14ac:dyDescent="0.25">
      <c r="A16" s="5" t="s">
        <v>270</v>
      </c>
      <c r="B16" s="5" t="s">
        <v>271</v>
      </c>
      <c r="C16" s="5" t="s">
        <v>272</v>
      </c>
      <c r="D16" s="5" t="s">
        <v>273</v>
      </c>
    </row>
    <row r="17" spans="1:4" x14ac:dyDescent="0.25">
      <c r="A17" s="17" t="s">
        <v>274</v>
      </c>
      <c r="B17" s="19" t="s">
        <v>275</v>
      </c>
      <c r="C17" s="19" t="s">
        <v>276</v>
      </c>
      <c r="D17" s="19" t="s">
        <v>40</v>
      </c>
    </row>
    <row r="18" spans="1:4" x14ac:dyDescent="0.25">
      <c r="A18" s="5" t="s">
        <v>277</v>
      </c>
      <c r="B18" s="53">
        <f>=B12/(300*0.15)</f>
      </c>
      <c r="C18" s="5" t="s">
        <v>278</v>
      </c>
      <c r="D18" s="5" t="s">
        <v>279</v>
      </c>
    </row>
    <row r="21" spans="1:6" x14ac:dyDescent="0.25">
      <c r="A21" s="55" t="s">
        <v>280</v>
      </c>
      <c r="B21" s="55"/>
      <c r="C21" s="55"/>
      <c r="D21" s="55"/>
      <c r="E21" s="55"/>
      <c r="F21" s="55"/>
    </row>
    <row r="22" spans="1:6" x14ac:dyDescent="0.25">
      <c r="A22" s="5" t="s">
        <v>281</v>
      </c>
      <c r="B22" s="5"/>
      <c r="C22" s="5"/>
      <c r="D22" s="5"/>
      <c r="E22" s="5"/>
      <c r="F22" s="5"/>
    </row>
    <row r="23" spans="1:6" x14ac:dyDescent="0.25">
      <c r="A23" s="29" t="s">
        <v>282</v>
      </c>
      <c r="B23" s="29"/>
      <c r="C23" s="29"/>
      <c r="D23" s="29"/>
      <c r="E23" s="29"/>
      <c r="F23" s="29"/>
    </row>
    <row r="24" spans="1:6" x14ac:dyDescent="0.25">
      <c r="A24" s="5" t="s">
        <v>283</v>
      </c>
      <c r="B24" s="5"/>
      <c r="C24" s="5"/>
      <c r="D24" s="5"/>
      <c r="E24" s="5"/>
      <c r="F24" s="5"/>
    </row>
  </sheetData>
  <mergeCells count="7">
    <mergeCell ref="A1:F1"/>
    <mergeCell ref="A3:F3"/>
    <mergeCell ref="A11:F11"/>
    <mergeCell ref="A21:F21"/>
    <mergeCell ref="A22:F22"/>
    <mergeCell ref="A23:F23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6" customWidth="1"/>
    <col min="2" max="5" width="16" customWidth="1"/>
    <col min="6" max="6" width="22" customWidth="1"/>
  </cols>
  <sheetData>
    <row r="1" spans="1:6" x14ac:dyDescent="0.25">
      <c r="A1" s="6" t="s">
        <v>284</v>
      </c>
      <c r="B1" s="6"/>
      <c r="C1" s="6"/>
      <c r="D1" s="6"/>
      <c r="E1" s="6"/>
      <c r="F1" s="6"/>
    </row>
    <row r="3" spans="1:6" x14ac:dyDescent="0.25">
      <c r="A3" s="20" t="s">
        <v>285</v>
      </c>
      <c r="B3" s="20"/>
      <c r="C3" s="20"/>
      <c r="D3" s="20"/>
      <c r="E3" s="20"/>
      <c r="F3" s="20"/>
    </row>
    <row r="4" spans="1:6" x14ac:dyDescent="0.25">
      <c r="A4" s="3" t="s">
        <v>286</v>
      </c>
      <c r="B4" s="3" t="s">
        <v>287</v>
      </c>
      <c r="C4" s="3" t="s">
        <v>154</v>
      </c>
      <c r="D4" s="3" t="s">
        <v>152</v>
      </c>
      <c r="E4" s="3" t="s">
        <v>288</v>
      </c>
      <c r="F4" s="3" t="s">
        <v>39</v>
      </c>
    </row>
    <row r="5" spans="1:6" x14ac:dyDescent="0.25">
      <c r="A5" s="5" t="s">
        <v>289</v>
      </c>
      <c r="B5" s="25">
        <v>2</v>
      </c>
      <c r="C5" s="48">
        <v>0</v>
      </c>
      <c r="D5" s="5">
        <v>0</v>
      </c>
      <c r="E5" s="5" t="s">
        <v>290</v>
      </c>
      <c r="F5" s="5" t="s">
        <v>291</v>
      </c>
    </row>
    <row r="6" spans="1:6" x14ac:dyDescent="0.25">
      <c r="A6" s="4" t="s">
        <v>292</v>
      </c>
      <c r="B6" s="4">
        <v>0</v>
      </c>
      <c r="C6" s="49">
        <v>0</v>
      </c>
      <c r="D6" s="4">
        <v>0</v>
      </c>
      <c r="E6" s="4" t="s">
        <v>31</v>
      </c>
      <c r="F6" s="4" t="s">
        <v>293</v>
      </c>
    </row>
    <row r="7" spans="1:6" x14ac:dyDescent="0.25">
      <c r="A7" s="5" t="s">
        <v>294</v>
      </c>
      <c r="B7" s="5">
        <v>1</v>
      </c>
      <c r="C7" s="48">
        <v>200</v>
      </c>
      <c r="D7" s="5">
        <v>25</v>
      </c>
      <c r="E7" s="5" t="s">
        <v>295</v>
      </c>
      <c r="F7" s="5" t="s">
        <v>296</v>
      </c>
    </row>
    <row r="8" spans="1:6" x14ac:dyDescent="0.25">
      <c r="A8" s="4" t="s">
        <v>297</v>
      </c>
      <c r="B8" s="4">
        <v>1</v>
      </c>
      <c r="C8" s="49">
        <v>50</v>
      </c>
      <c r="D8" s="4">
        <v>25</v>
      </c>
      <c r="E8" s="4" t="s">
        <v>298</v>
      </c>
      <c r="F8" s="4" t="s">
        <v>299</v>
      </c>
    </row>
    <row r="10" spans="1:6" x14ac:dyDescent="0.25">
      <c r="A10" s="16" t="s">
        <v>300</v>
      </c>
      <c r="B10" s="16"/>
      <c r="C10" s="16"/>
      <c r="D10" s="16"/>
      <c r="E10" s="16"/>
      <c r="F10" s="16"/>
    </row>
    <row r="11" spans="1:6" x14ac:dyDescent="0.25">
      <c r="A11" s="3" t="s">
        <v>120</v>
      </c>
      <c r="B11" s="3" t="s">
        <v>301</v>
      </c>
      <c r="C11" s="3" t="s">
        <v>287</v>
      </c>
      <c r="D11" s="3" t="s">
        <v>302</v>
      </c>
      <c r="E11" s="3" t="s">
        <v>303</v>
      </c>
      <c r="F11" s="3" t="s">
        <v>304</v>
      </c>
    </row>
    <row r="12" spans="1:6" x14ac:dyDescent="0.25">
      <c r="A12" s="5" t="s">
        <v>125</v>
      </c>
      <c r="B12" s="32">
        <v>100</v>
      </c>
      <c r="C12" s="32">
        <v>1</v>
      </c>
      <c r="D12" s="32">
        <f>=C12/B12</f>
      </c>
      <c r="E12" s="32">
        <v>3</v>
      </c>
      <c r="F12" s="32">
        <f>=B12*E12</f>
      </c>
    </row>
    <row r="13" spans="1:6" x14ac:dyDescent="0.25">
      <c r="A13" s="17" t="s">
        <v>129</v>
      </c>
      <c r="B13" s="40">
        <v>200</v>
      </c>
      <c r="C13" s="56">
        <v>1</v>
      </c>
      <c r="D13" s="56">
        <f>=C13/B13</f>
      </c>
      <c r="E13" s="56">
        <v>4</v>
      </c>
      <c r="F13" s="56">
        <f>=B13*E13</f>
      </c>
    </row>
    <row r="14" spans="1:6" x14ac:dyDescent="0.25">
      <c r="A14" s="5" t="s">
        <v>132</v>
      </c>
      <c r="B14" s="32">
        <v>400</v>
      </c>
      <c r="C14" s="32">
        <v>1</v>
      </c>
      <c r="D14" s="32">
        <f>=C14/B14</f>
      </c>
      <c r="E14" s="32">
        <v>5</v>
      </c>
      <c r="F14" s="32">
        <f>=B14*E14</f>
      </c>
    </row>
    <row r="15" spans="1:6" x14ac:dyDescent="0.25">
      <c r="A15" s="17" t="s">
        <v>135</v>
      </c>
      <c r="B15" s="40">
        <v>700</v>
      </c>
      <c r="C15" s="56">
        <v>1</v>
      </c>
      <c r="D15" s="56">
        <f>=C15/B15</f>
      </c>
      <c r="E15" s="56">
        <v>5</v>
      </c>
      <c r="F15" s="56">
        <f>=B15*E15</f>
      </c>
    </row>
    <row r="17" spans="1:6" x14ac:dyDescent="0.25">
      <c r="A17" s="55" t="s">
        <v>305</v>
      </c>
      <c r="B17" s="55"/>
      <c r="C17" s="55"/>
      <c r="D17" s="55"/>
      <c r="E17" s="55"/>
      <c r="F17" s="55"/>
    </row>
    <row r="18" spans="1:4" x14ac:dyDescent="0.25">
      <c r="A18" s="5" t="s">
        <v>306</v>
      </c>
      <c r="B18" s="32">
        <v>9</v>
      </c>
      <c r="C18" s="5" t="s">
        <v>307</v>
      </c>
      <c r="D18" s="5" t="s">
        <v>308</v>
      </c>
    </row>
    <row r="19" spans="1:4" x14ac:dyDescent="0.25">
      <c r="A19" s="17" t="s">
        <v>309</v>
      </c>
      <c r="B19" s="52">
        <v>1</v>
      </c>
      <c r="C19" s="19" t="s">
        <v>310</v>
      </c>
      <c r="D19" s="19" t="s">
        <v>311</v>
      </c>
    </row>
    <row r="20" spans="1:4" x14ac:dyDescent="0.25">
      <c r="A20" s="5" t="s">
        <v>312</v>
      </c>
      <c r="B20" s="32">
        <f>=B18*B19</f>
      </c>
      <c r="C20" s="5" t="s">
        <v>310</v>
      </c>
      <c r="D20" s="5" t="s">
        <v>40</v>
      </c>
    </row>
    <row r="21" spans="1:4" x14ac:dyDescent="0.25">
      <c r="A21" s="17" t="s">
        <v>313</v>
      </c>
      <c r="B21" s="57">
        <f>=3+4+5+2</f>
      </c>
      <c r="C21" s="19" t="s">
        <v>310</v>
      </c>
      <c r="D21" s="19" t="s">
        <v>314</v>
      </c>
    </row>
    <row r="22" spans="1:4" x14ac:dyDescent="0.25">
      <c r="A22" s="5" t="s">
        <v>315</v>
      </c>
      <c r="B22" s="32">
        <f>=B20-B21</f>
      </c>
      <c r="C22" s="5" t="s">
        <v>310</v>
      </c>
      <c r="D22" s="5" t="s">
        <v>40</v>
      </c>
    </row>
    <row r="23" spans="1:4" x14ac:dyDescent="0.25">
      <c r="A23" s="17" t="s">
        <v>316</v>
      </c>
      <c r="B23" s="52">
        <v>200</v>
      </c>
      <c r="C23" s="19" t="s">
        <v>317</v>
      </c>
      <c r="D23" s="19" t="s">
        <v>318</v>
      </c>
    </row>
    <row r="24" spans="1:4" x14ac:dyDescent="0.25">
      <c r="A24" s="5" t="s">
        <v>319</v>
      </c>
      <c r="B24" s="32">
        <f>=B23*B24</f>
      </c>
      <c r="C24" s="5" t="s">
        <v>260</v>
      </c>
      <c r="D24" s="5" t="s">
        <v>320</v>
      </c>
    </row>
  </sheetData>
  <mergeCells count="4">
    <mergeCell ref="A1:F1"/>
    <mergeCell ref="A3:F3"/>
    <mergeCell ref="A10:F10"/>
    <mergeCell ref="A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14" customWidth="1"/>
    <col min="2" max="2" width="22" customWidth="1"/>
    <col min="3" max="4" width="18" customWidth="1"/>
    <col min="5" max="5" width="30" customWidth="1"/>
    <col min="6" max="6" width="16" customWidth="1"/>
  </cols>
  <sheetData>
    <row r="1" spans="1:6" x14ac:dyDescent="0.25">
      <c r="A1" s="6" t="s">
        <v>321</v>
      </c>
      <c r="B1" s="6"/>
      <c r="C1" s="6"/>
      <c r="D1" s="6"/>
      <c r="E1" s="6"/>
      <c r="F1" s="6"/>
    </row>
    <row r="3" spans="1:6" x14ac:dyDescent="0.25">
      <c r="A3" s="3" t="s">
        <v>322</v>
      </c>
      <c r="B3" s="3" t="s">
        <v>323</v>
      </c>
      <c r="C3" s="3" t="s">
        <v>324</v>
      </c>
      <c r="D3" s="3" t="s">
        <v>325</v>
      </c>
      <c r="E3" s="3" t="s">
        <v>326</v>
      </c>
      <c r="F3" s="3" t="s">
        <v>327</v>
      </c>
    </row>
    <row r="4" spans="1:6" x14ac:dyDescent="0.25">
      <c r="A4" s="5" t="s">
        <v>328</v>
      </c>
      <c r="B4" s="5" t="s">
        <v>329</v>
      </c>
      <c r="C4" s="5" t="s">
        <v>31</v>
      </c>
      <c r="D4" s="5" t="s">
        <v>330</v>
      </c>
      <c r="E4" s="5" t="s">
        <v>331</v>
      </c>
      <c r="F4" s="5" t="s">
        <v>332</v>
      </c>
    </row>
    <row r="5" spans="1:6" x14ac:dyDescent="0.25">
      <c r="A5" s="5" t="s">
        <v>40</v>
      </c>
      <c r="B5" s="5" t="s">
        <v>40</v>
      </c>
      <c r="C5" s="5" t="s">
        <v>40</v>
      </c>
      <c r="D5" s="5" t="s">
        <v>40</v>
      </c>
      <c r="E5" s="5" t="s">
        <v>40</v>
      </c>
      <c r="F5" s="5" t="s">
        <v>40</v>
      </c>
    </row>
    <row r="6" spans="1:6" x14ac:dyDescent="0.25">
      <c r="A6" s="35" t="s">
        <v>40</v>
      </c>
      <c r="B6" s="35" t="s">
        <v>40</v>
      </c>
      <c r="C6" s="35" t="s">
        <v>40</v>
      </c>
      <c r="D6" s="35" t="s">
        <v>40</v>
      </c>
      <c r="E6" s="35" t="s">
        <v>40</v>
      </c>
      <c r="F6" s="35" t="s">
        <v>40</v>
      </c>
    </row>
    <row r="7" spans="1:6" x14ac:dyDescent="0.25">
      <c r="A7" s="5" t="s">
        <v>40</v>
      </c>
      <c r="B7" s="5" t="s">
        <v>40</v>
      </c>
      <c r="C7" s="5" t="s">
        <v>40</v>
      </c>
      <c r="D7" s="5" t="s">
        <v>40</v>
      </c>
      <c r="E7" s="5" t="s">
        <v>40</v>
      </c>
      <c r="F7" s="5" t="s">
        <v>40</v>
      </c>
    </row>
    <row r="8" spans="1:6" x14ac:dyDescent="0.25">
      <c r="A8" s="35" t="s">
        <v>40</v>
      </c>
      <c r="B8" s="35" t="s">
        <v>40</v>
      </c>
      <c r="C8" s="35" t="s">
        <v>40</v>
      </c>
      <c r="D8" s="35" t="s">
        <v>40</v>
      </c>
      <c r="E8" s="35" t="s">
        <v>40</v>
      </c>
      <c r="F8" s="35" t="s">
        <v>40</v>
      </c>
    </row>
    <row r="9" spans="1:6" x14ac:dyDescent="0.25">
      <c r="A9" s="5" t="s">
        <v>40</v>
      </c>
      <c r="B9" s="5" t="s">
        <v>40</v>
      </c>
      <c r="C9" s="5" t="s">
        <v>40</v>
      </c>
      <c r="D9" s="5" t="s">
        <v>40</v>
      </c>
      <c r="E9" s="5" t="s">
        <v>40</v>
      </c>
      <c r="F9" s="5" t="s">
        <v>40</v>
      </c>
    </row>
    <row r="10" spans="1:6" x14ac:dyDescent="0.25">
      <c r="A10" s="35" t="s">
        <v>40</v>
      </c>
      <c r="B10" s="35" t="s">
        <v>40</v>
      </c>
      <c r="C10" s="35" t="s">
        <v>40</v>
      </c>
      <c r="D10" s="35" t="s">
        <v>40</v>
      </c>
      <c r="E10" s="35" t="s">
        <v>40</v>
      </c>
      <c r="F10" s="35" t="s">
        <v>40</v>
      </c>
    </row>
    <row r="11" spans="1:6" x14ac:dyDescent="0.25">
      <c r="A11" s="5" t="s">
        <v>40</v>
      </c>
      <c r="B11" s="5" t="s">
        <v>40</v>
      </c>
      <c r="C11" s="5" t="s">
        <v>40</v>
      </c>
      <c r="D11" s="5" t="s">
        <v>40</v>
      </c>
      <c r="E11" s="5" t="s">
        <v>40</v>
      </c>
      <c r="F11" s="5" t="s">
        <v>40</v>
      </c>
    </row>
    <row r="12" spans="1:6" x14ac:dyDescent="0.25">
      <c r="A12" s="35" t="s">
        <v>40</v>
      </c>
      <c r="B12" s="35" t="s">
        <v>40</v>
      </c>
      <c r="C12" s="35" t="s">
        <v>40</v>
      </c>
      <c r="D12" s="35" t="s">
        <v>40</v>
      </c>
      <c r="E12" s="35" t="s">
        <v>40</v>
      </c>
      <c r="F12" s="35" t="s">
        <v>40</v>
      </c>
    </row>
    <row r="13" spans="1:6" x14ac:dyDescent="0.25">
      <c r="A13" s="5" t="s">
        <v>40</v>
      </c>
      <c r="B13" s="5" t="s">
        <v>40</v>
      </c>
      <c r="C13" s="5" t="s">
        <v>40</v>
      </c>
      <c r="D13" s="5" t="s">
        <v>40</v>
      </c>
      <c r="E13" s="5" t="s">
        <v>40</v>
      </c>
      <c r="F13" s="5" t="s">
        <v>40</v>
      </c>
    </row>
    <row r="14" spans="1:6" x14ac:dyDescent="0.25">
      <c r="A14" s="35" t="s">
        <v>40</v>
      </c>
      <c r="B14" s="35" t="s">
        <v>40</v>
      </c>
      <c r="C14" s="35" t="s">
        <v>40</v>
      </c>
      <c r="D14" s="35" t="s">
        <v>40</v>
      </c>
      <c r="E14" s="35" t="s">
        <v>40</v>
      </c>
      <c r="F14" s="35" t="s">
        <v>40</v>
      </c>
    </row>
    <row r="17" spans="1:6" x14ac:dyDescent="0.25">
      <c r="A17" s="58" t="s">
        <v>333</v>
      </c>
      <c r="B17" s="58"/>
      <c r="C17" s="58"/>
      <c r="D17" s="58"/>
      <c r="E17" s="58"/>
      <c r="F17" s="58"/>
    </row>
  </sheetData>
  <mergeCells count="2">
    <mergeCell ref="A1:F1"/>
    <mergeCell ref="A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📋 개요</vt:lpstr>
      <vt:lpstr>📊 스탯 성장</vt:lpstr>
      <vt:lpstr>⚔️ 전투 시뮬레이터</vt:lpstr>
      <vt:lpstr>🏃 활력 시스템</vt:lpstr>
      <vt:lpstr>💰 경제 흐름</vt:lpstr>
      <vt:lpstr>🏠 집 장비 투자</vt:lpstr>
      <vt:lpstr>🥊 스파링 비용</vt:lpstr>
      <vt:lpstr>📝 조정 이력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 to Glory - Balance Team</dc:creator>
  <dc:title/>
  <dc:subject/>
  <dc:description/>
  <cp:keywords/>
  <cp:category/>
  <cp:lastModifiedBy>Unknown</cp:lastModifiedBy>
  <dcterms:created xsi:type="dcterms:W3CDTF">2026-05-25T14:33:46Z</dcterms:created>
  <dcterms:modified xsi:type="dcterms:W3CDTF">2026-05-25T14:33:46Z</dcterms:modified>
</cp:coreProperties>
</file>